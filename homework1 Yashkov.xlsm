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1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J13" i="1"/>
  <c r="F13" i="1"/>
  <c r="C4" i="1"/>
  <c r="C5" i="1" s="1"/>
  <c r="G15" i="1" s="1"/>
  <c r="G12" i="1" l="1"/>
  <c r="H12" i="1" l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<sst xmlns="http://schemas.openxmlformats.org/spreadsheetml/2006/main" count="12" uniqueCount="11">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</sst>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₽&quot;_-;\-* #,##0.00\ &quot;₽&quot;_-;_-* &quot;-&quot;??\ &quot;₽&quot;_-;_-@_-"/>
    <numFmt numFmtId="174" formatCode="0.0000"/>
    <numFmt numFmtId="175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74" fontId="0" fillId="0" borderId="1" xfId="0" applyNumberFormat="1" applyBorder="1" applyAlignment="1">
      <alignment horizontal="center" vertical="center"/>
    </xf>
    <xf numFmtId="175" fontId="0" fillId="0" borderId="1" xfId="1" applyNumberFormat="1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75" fontId="0" fillId="0" borderId="1" xfId="0" applyNumberFormat="1" applyBorder="1" applyAlignment="1">
      <alignment horizontal="center" vertical="center"/>
    </xf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03286820975885"/>
          <c:y val="0.1325278471561821"/>
          <c:w val="0.70337573795991681"/>
          <c:h val="0.77364294099410247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293.33333333330182</c:v>
                </c:pt>
                <c:pt idx="2">
                  <c:v>286.66666666660433</c:v>
                </c:pt>
                <c:pt idx="3">
                  <c:v>279.99999999990689</c:v>
                </c:pt>
                <c:pt idx="4">
                  <c:v>273.3333333332115</c:v>
                </c:pt>
                <c:pt idx="5">
                  <c:v>266.66666666651616</c:v>
                </c:pt>
                <c:pt idx="6">
                  <c:v>259.99999999982401</c:v>
                </c:pt>
                <c:pt idx="7">
                  <c:v>253.33333333313197</c:v>
                </c:pt>
                <c:pt idx="8">
                  <c:v>246.6666666664442</c:v>
                </c:pt>
                <c:pt idx="9">
                  <c:v>239.99999999975654</c:v>
                </c:pt>
                <c:pt idx="10">
                  <c:v>233.33333333307411</c:v>
                </c:pt>
                <c:pt idx="11">
                  <c:v>226.66666666639176</c:v>
                </c:pt>
                <c:pt idx="12">
                  <c:v>219.99999999971533</c:v>
                </c:pt>
                <c:pt idx="13">
                  <c:v>213.33333333303898</c:v>
                </c:pt>
                <c:pt idx="14">
                  <c:v>206.666666666369</c:v>
                </c:pt>
                <c:pt idx="15">
                  <c:v>199.99999999969907</c:v>
                </c:pt>
                <c:pt idx="16">
                  <c:v>193.33333333303568</c:v>
                </c:pt>
                <c:pt idx="17">
                  <c:v>186.66666666637229</c:v>
                </c:pt>
                <c:pt idx="18">
                  <c:v>179.99999999971533</c:v>
                </c:pt>
                <c:pt idx="19">
                  <c:v>173.33333333305839</c:v>
                </c:pt>
                <c:pt idx="20">
                  <c:v>166.66666666640745</c:v>
                </c:pt>
                <c:pt idx="21">
                  <c:v>159.99999999975651</c:v>
                </c:pt>
                <c:pt idx="22">
                  <c:v>153.33333333311089</c:v>
                </c:pt>
                <c:pt idx="23">
                  <c:v>146.66666666646529</c:v>
                </c:pt>
                <c:pt idx="24">
                  <c:v>139.99999999982407</c:v>
                </c:pt>
                <c:pt idx="25">
                  <c:v>133.33333333318285</c:v>
                </c:pt>
                <c:pt idx="26">
                  <c:v>126.66666666654491</c:v>
                </c:pt>
                <c:pt idx="27">
                  <c:v>119.999999999907</c:v>
                </c:pt>
                <c:pt idx="28">
                  <c:v>113.3333333332711</c:v>
                </c:pt>
                <c:pt idx="29">
                  <c:v>106.66666666663521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AC-44DF-8151-05955115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428504"/>
        <c:axId val="422428176"/>
      </c:lineChart>
      <c:catAx>
        <c:axId val="422428504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2428176"/>
        <c:crosses val="autoZero"/>
        <c:auto val="1"/>
        <c:lblAlgn val="ctr"/>
        <c:lblOffset val="100"/>
        <c:noMultiLvlLbl val="0"/>
      </c:catAx>
      <c:valAx>
        <c:axId val="4224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242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304799</xdr:colOff>
      <xdr:row>20</xdr:row>
      <xdr:rowOff>42861</xdr:rowOff>
    </xdr:from>
    <xdr:to>
      <xdr:col>10</xdr:col>
      <xdr:colOff>85725</xdr:colOff>
      <xdr:row>47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504825</xdr:colOff>
      <xdr:row>20</xdr:row>
      <xdr:rowOff>147637</xdr:rowOff>
    </xdr:from>
    <xdr:ext cx="581025" cy="313099"/>
    <xdr:sp macro="" textlink="">
      <xdr:nvSpPr>
        <xdr:cNvPr id="4" name="TextBox 3"/>
        <xdr:cNvSpPr txBox="1"/>
      </xdr:nvSpPr>
      <xdr:spPr>
        <a:xfrm>
          <a:off x="1114425" y="3957637"/>
          <a:ext cx="581025" cy="3130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2000"/>
            <a:t>T</a:t>
          </a:r>
          <a:r>
            <a:rPr lang="en-US" sz="2000" baseline="0"/>
            <a:t> [C]</a:t>
          </a:r>
          <a:endParaRPr lang="ru-RU" sz="2000"/>
        </a:p>
      </xdr:txBody>
    </xdr:sp>
    <xdr:clientData/>
  </xdr:oneCellAnchor>
  <xdr:oneCellAnchor>
    <xdr:from>
      <xdr:col>8</xdr:col>
      <xdr:colOff>333374</xdr:colOff>
      <xdr:row>43</xdr:row>
      <xdr:rowOff>4762</xdr:rowOff>
    </xdr:from>
    <xdr:ext cx="1057275" cy="438325"/>
    <xdr:sp macro="" textlink="">
      <xdr:nvSpPr>
        <xdr:cNvPr id="5" name="TextBox 4"/>
        <xdr:cNvSpPr txBox="1"/>
      </xdr:nvSpPr>
      <xdr:spPr>
        <a:xfrm>
          <a:off x="4791074" y="8196262"/>
          <a:ext cx="1057275" cy="438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2800"/>
            <a:t>L[m]</a:t>
          </a:r>
          <a:endParaRPr lang="ru-RU" sz="28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Z15"/>
  <sheetViews>
    <sheetView tabSelected="1" workbookViewId="0">
      <selection activeCell="O6" sqref="O6"/>
    </sheetView>
  </sheetViews>
  <sheetFormatPr defaultRowHeight="15" x14ac:dyDescent="0.25"/>
  <cols>
    <col min="3" max="3" width="10.5703125" bestFit="1" customWidth="1"/>
    <col min="6" max="36" width="6.5703125" bestFit="1" customWidth="1"/>
  </cols>
  <sheetData>
    <row r="3" spans="1:52" x14ac:dyDescent="0.25">
      <c r="B3" s="2" t="s">
        <v>0</v>
      </c>
      <c r="C3" s="2">
        <v>0.1</v>
      </c>
    </row>
    <row r="4" spans="1:52" x14ac:dyDescent="0.25">
      <c r="B4" s="2" t="s">
        <v>1</v>
      </c>
      <c r="C4" s="4">
        <f>C3/30</f>
        <v>3.3333333333333335E-3</v>
      </c>
    </row>
    <row r="5" spans="1:52" x14ac:dyDescent="0.25">
      <c r="B5" s="2" t="s">
        <v>2</v>
      </c>
      <c r="C5" s="7">
        <f>(C9*C8*C4^2)/(2*C10)</f>
        <v>0.4333333333333334</v>
      </c>
    </row>
    <row r="6" spans="1:52" x14ac:dyDescent="0.25">
      <c r="B6" s="2" t="s">
        <v>3</v>
      </c>
      <c r="C6" s="2">
        <v>5000</v>
      </c>
      <c r="D6">
        <v>5000.4333333333334</v>
      </c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5"/>
      <c r="B7" s="6"/>
      <c r="C7" s="6"/>
      <c r="D7" s="5"/>
    </row>
    <row r="8" spans="1:52" x14ac:dyDescent="0.25">
      <c r="B8" s="2" t="s">
        <v>4</v>
      </c>
      <c r="C8" s="2">
        <v>460</v>
      </c>
    </row>
    <row r="9" spans="1:52" x14ac:dyDescent="0.25">
      <c r="B9" s="2" t="s">
        <v>5</v>
      </c>
      <c r="C9" s="2">
        <v>7800</v>
      </c>
    </row>
    <row r="10" spans="1:52" x14ac:dyDescent="0.25">
      <c r="B10" s="2" t="s">
        <v>6</v>
      </c>
      <c r="C10" s="2">
        <v>46</v>
      </c>
    </row>
    <row r="11" spans="1:52" x14ac:dyDescent="0.25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52" x14ac:dyDescent="0.25">
      <c r="B12" s="6"/>
      <c r="C12" s="6"/>
      <c r="E12" s="1" t="s">
        <v>0</v>
      </c>
      <c r="F12" s="3">
        <v>0</v>
      </c>
      <c r="G12" s="3">
        <f>F12+$C4</f>
        <v>3.3333333333333335E-3</v>
      </c>
      <c r="H12" s="3">
        <f>G12+$C4</f>
        <v>6.6666666666666671E-3</v>
      </c>
      <c r="I12" s="3">
        <f>H12+$C4</f>
        <v>0.01</v>
      </c>
      <c r="J12" s="3">
        <f>I12+$C4</f>
        <v>1.3333333333333334E-2</v>
      </c>
      <c r="K12" s="3">
        <f>J12+$C4</f>
        <v>1.6666666666666666E-2</v>
      </c>
      <c r="L12" s="3">
        <f>K12+$C4</f>
        <v>0.02</v>
      </c>
      <c r="M12" s="3">
        <f>L12+$C4</f>
        <v>2.3333333333333334E-2</v>
      </c>
      <c r="N12" s="3">
        <f>M12+$C4</f>
        <v>2.6666666666666668E-2</v>
      </c>
      <c r="O12" s="3">
        <f>N12+$C4</f>
        <v>3.0000000000000002E-2</v>
      </c>
      <c r="P12" s="3">
        <f>O12+$C4</f>
        <v>3.3333333333333333E-2</v>
      </c>
      <c r="Q12" s="3">
        <f>P12+$C4</f>
        <v>3.6666666666666667E-2</v>
      </c>
      <c r="R12" s="3">
        <f>Q12+$C4</f>
        <v>0.04</v>
      </c>
      <c r="S12" s="3">
        <f>R12+$C4</f>
        <v>4.3333333333333335E-2</v>
      </c>
      <c r="T12" s="3">
        <f>S12+$C4</f>
        <v>4.6666666666666669E-2</v>
      </c>
      <c r="U12" s="3">
        <f>T12+$C4</f>
        <v>0.05</v>
      </c>
      <c r="V12" s="3">
        <f>U12+$C4</f>
        <v>5.3333333333333337E-2</v>
      </c>
      <c r="W12" s="3">
        <f>V12+$C4</f>
        <v>5.6666666666666671E-2</v>
      </c>
      <c r="X12" s="3">
        <f>W12+$C4</f>
        <v>6.0000000000000005E-2</v>
      </c>
      <c r="Y12" s="3">
        <f>X12+$C4</f>
        <v>6.3333333333333339E-2</v>
      </c>
      <c r="Z12" s="3">
        <f>Y12+$C4</f>
        <v>6.6666666666666666E-2</v>
      </c>
      <c r="AA12" s="3">
        <f>Z12+$C4</f>
        <v>6.9999999999999993E-2</v>
      </c>
      <c r="AB12" s="3">
        <f>AA12+$C4</f>
        <v>7.333333333333332E-2</v>
      </c>
      <c r="AC12" s="3">
        <f>AB12+$C4</f>
        <v>7.6666666666666647E-2</v>
      </c>
      <c r="AD12" s="3">
        <f>AC12+$C4</f>
        <v>7.9999999999999974E-2</v>
      </c>
      <c r="AE12" s="3">
        <f>AD12+$C4</f>
        <v>8.3333333333333301E-2</v>
      </c>
      <c r="AF12" s="3">
        <f>AE12+$C4</f>
        <v>8.6666666666666628E-2</v>
      </c>
      <c r="AG12" s="3">
        <f>AF12+$C4</f>
        <v>8.9999999999999955E-2</v>
      </c>
      <c r="AH12" s="3">
        <f>AG12+$C4</f>
        <v>9.3333333333333282E-2</v>
      </c>
      <c r="AI12" s="3">
        <f>AH12+$C4</f>
        <v>9.6666666666666609E-2</v>
      </c>
      <c r="AJ12" s="3">
        <f>AI12+$C4</f>
        <v>9.9999999999999936E-2</v>
      </c>
    </row>
    <row r="13" spans="1:52" x14ac:dyDescent="0.25">
      <c r="B13" s="2" t="s">
        <v>8</v>
      </c>
      <c r="C13" s="2">
        <v>300</v>
      </c>
      <c r="E13" s="1" t="s">
        <v>7</v>
      </c>
      <c r="F13" s="1">
        <f>C13</f>
        <v>300</v>
      </c>
      <c r="G13" s="1">
        <v>293.33333333330182</v>
      </c>
      <c r="H13" s="1">
        <v>286.66666666660433</v>
      </c>
      <c r="I13" s="1">
        <v>279.99999999990689</v>
      </c>
      <c r="J13" s="1">
        <v>273.3333333332115</v>
      </c>
      <c r="K13" s="1">
        <v>266.66666666651616</v>
      </c>
      <c r="L13" s="1">
        <v>259.99999999982401</v>
      </c>
      <c r="M13" s="1">
        <v>253.33333333313197</v>
      </c>
      <c r="N13" s="1">
        <v>246.6666666664442</v>
      </c>
      <c r="O13" s="1">
        <v>239.99999999975654</v>
      </c>
      <c r="P13" s="1">
        <v>233.33333333307411</v>
      </c>
      <c r="Q13" s="1">
        <v>226.66666666639176</v>
      </c>
      <c r="R13" s="1">
        <v>219.99999999971533</v>
      </c>
      <c r="S13" s="1">
        <v>213.33333333303898</v>
      </c>
      <c r="T13" s="1">
        <v>206.666666666369</v>
      </c>
      <c r="U13" s="1">
        <v>199.99999999969907</v>
      </c>
      <c r="V13" s="1">
        <v>193.33333333303568</v>
      </c>
      <c r="W13" s="1">
        <v>186.66666666637229</v>
      </c>
      <c r="X13" s="1">
        <v>179.99999999971533</v>
      </c>
      <c r="Y13" s="1">
        <v>173.33333333305839</v>
      </c>
      <c r="Z13" s="1">
        <v>166.66666666640745</v>
      </c>
      <c r="AA13" s="1">
        <v>159.99999999975651</v>
      </c>
      <c r="AB13" s="1">
        <v>153.33333333311089</v>
      </c>
      <c r="AC13" s="1">
        <v>146.66666666646529</v>
      </c>
      <c r="AD13" s="1">
        <v>139.99999999982407</v>
      </c>
      <c r="AE13" s="1">
        <v>133.33333333318285</v>
      </c>
      <c r="AF13" s="1">
        <v>126.66666666654491</v>
      </c>
      <c r="AG13" s="1">
        <v>119.999999999907</v>
      </c>
      <c r="AH13" s="1">
        <v>113.3333333332711</v>
      </c>
      <c r="AI13" s="1">
        <v>106.66666666663521</v>
      </c>
      <c r="AJ13" s="1">
        <f>C14</f>
        <v>100</v>
      </c>
    </row>
    <row r="14" spans="1:52" x14ac:dyDescent="0.25">
      <c r="B14" s="2" t="s">
        <v>9</v>
      </c>
      <c r="C14" s="2">
        <v>100</v>
      </c>
    </row>
    <row r="15" spans="1:52" x14ac:dyDescent="0.25">
      <c r="E15" t="s">
        <v>10</v>
      </c>
      <c r="G15" s="1">
        <f>G13+(($C$10*$C$5)/($C$9*$C$8))*((H13-2*G13+F13)/($C$4^2))</f>
        <v>293.33333333330216</v>
      </c>
      <c r="H15" s="1">
        <f t="shared" ref="H15:AJ15" si="0">H13+(($C$10*$C$5)/($C$9*$C$8))*((I13-2*H13+G13)/($C$4^2))</f>
        <v>286.66666666660433</v>
      </c>
      <c r="I15" s="1">
        <f t="shared" si="0"/>
        <v>279.99999999990791</v>
      </c>
      <c r="J15" s="1">
        <f t="shared" si="0"/>
        <v>273.3333333332115</v>
      </c>
      <c r="K15" s="1">
        <f t="shared" si="0"/>
        <v>266.66666666651776</v>
      </c>
      <c r="L15" s="1">
        <f t="shared" si="0"/>
        <v>259.99999999982407</v>
      </c>
      <c r="M15" s="1">
        <f t="shared" si="0"/>
        <v>253.33333333313411</v>
      </c>
      <c r="N15" s="1">
        <f t="shared" si="0"/>
        <v>246.66666666644426</v>
      </c>
      <c r="O15" s="1">
        <f t="shared" si="0"/>
        <v>239.99999999975915</v>
      </c>
      <c r="P15" s="1">
        <f t="shared" si="0"/>
        <v>233.33333333307417</v>
      </c>
      <c r="Q15" s="1">
        <f t="shared" si="0"/>
        <v>226.66666666639472</v>
      </c>
      <c r="R15" s="1">
        <f t="shared" si="0"/>
        <v>219.99999999971539</v>
      </c>
      <c r="S15" s="1">
        <f t="shared" si="0"/>
        <v>213.33333333304216</v>
      </c>
      <c r="T15" s="1">
        <f t="shared" si="0"/>
        <v>206.66666666636903</v>
      </c>
      <c r="U15" s="1">
        <f t="shared" si="0"/>
        <v>199.99999999970234</v>
      </c>
      <c r="V15" s="1">
        <f t="shared" si="0"/>
        <v>193.33333333303568</v>
      </c>
      <c r="W15" s="1">
        <f t="shared" si="0"/>
        <v>186.66666666637551</v>
      </c>
      <c r="X15" s="1">
        <f t="shared" si="0"/>
        <v>179.99999999971533</v>
      </c>
      <c r="Y15" s="1">
        <f t="shared" si="0"/>
        <v>173.33333333306138</v>
      </c>
      <c r="Z15" s="1">
        <f t="shared" si="0"/>
        <v>166.66666666640745</v>
      </c>
      <c r="AA15" s="1">
        <f t="shared" si="0"/>
        <v>159.99999999975915</v>
      </c>
      <c r="AB15" s="1">
        <f t="shared" si="0"/>
        <v>153.33333333311089</v>
      </c>
      <c r="AC15" s="1">
        <f t="shared" si="0"/>
        <v>146.66666666646748</v>
      </c>
      <c r="AD15" s="1">
        <f t="shared" si="0"/>
        <v>139.99999999982407</v>
      </c>
      <c r="AE15" s="1">
        <f t="shared" si="0"/>
        <v>133.3333333331845</v>
      </c>
      <c r="AF15" s="1">
        <f t="shared" si="0"/>
        <v>126.66666666654493</v>
      </c>
      <c r="AG15" s="1">
        <f t="shared" si="0"/>
        <v>119.999999999908</v>
      </c>
      <c r="AH15" s="1">
        <f t="shared" si="0"/>
        <v>113.3333333332711</v>
      </c>
      <c r="AI15" s="1">
        <f>AI13+(($C$10*$C$5)/($C$9*$C$8))*((AJ13-2*AI13+AH13)/($C$4^2))</f>
        <v>106.66666666663555</v>
      </c>
      <c r="AJ15" s="1"/>
    </row>
  </sheetData>
  <conditionalFormatting sqref="F13:AJ13">
    <cfRule type="colorScale" priority="1">
      <colorScale>
        <cfvo type="min"/>
        <cfvo type="percentile" val="50"/>
        <cfvo type="max"/>
        <color theme="4"/>
        <color rgb="FFFFFF00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2021-09-24T12:52:03Z</dcterms:modified>
</cp:coreProperties>
</file>